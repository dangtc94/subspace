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S repo\subspace\tools\"/>
    </mc:Choice>
  </mc:AlternateContent>
  <xr:revisionPtr revIDLastSave="0" documentId="13_ncr:9_{DA70E7FE-3114-4C1F-A043-EAD8CF5B8975}" xr6:coauthVersionLast="47" xr6:coauthVersionMax="47" xr10:uidLastSave="{00000000-0000-0000-0000-000000000000}"/>
  <bookViews>
    <workbookView xWindow="-120" yWindow="-120" windowWidth="20730" windowHeight="11040" xr2:uid="{13FD28DD-6F1A-4AF2-A545-46F899BA1FC6}"/>
  </bookViews>
  <sheets>
    <sheet name="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 a="1"/>
  <c r="I3" i="1" s="1"/>
  <c r="G9" i="1" s="1"/>
  <c r="G19" i="1"/>
  <c r="G17" i="1"/>
  <c r="G15" i="1"/>
  <c r="G13" i="1"/>
  <c r="G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<sst xmlns="http://schemas.openxmlformats.org/spreadsheetml/2006/main" count="19" uniqueCount="19">
  <si>
    <t>STT</t>
  </si>
  <si>
    <t>Ví</t>
  </si>
  <si>
    <t>start of port</t>
  </si>
  <si>
    <t>stt</t>
  </si>
  <si>
    <t>size plot</t>
  </si>
  <si>
    <t># comment line</t>
  </si>
  <si>
    <t># Image tag find here: https://ghcr.io/subspace/node</t>
  </si>
  <si>
    <t>IMAGETAG=gemini-2a-2022-sep-10</t>
  </si>
  <si>
    <t># Nodename here</t>
  </si>
  <si>
    <t># Port #1 = 30333</t>
  </si>
  <si>
    <t># Port #2 = 40333</t>
  </si>
  <si>
    <t># Port #3 = 9955</t>
  </si>
  <si>
    <t># Change reward address here</t>
  </si>
  <si>
    <t># Change plot size here 10G or 100G</t>
  </si>
  <si>
    <t>node ID</t>
  </si>
  <si>
    <t>stAV3HejGxWSuBjWuLxG9WRdSSLsYDbRq38tMp4C8aLJD2z3B</t>
  </si>
  <si>
    <t>stBhzrmra6mNeKxPVnUuWLr7bnRJ79xXkGN8JrceuJpCAgUmp</t>
  </si>
  <si>
    <t>stAaRY5CfbNXLSCfu62YFWvKji4Bmd9Az4ygpaY1QBeHrHcF8</t>
  </si>
  <si>
    <t>st9ymkmvw7bnL15BQbW8VM5JB6My8ywt72wkgDfZuaYmrCpf1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</si>
</sst>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rial"/>
      <family val="2"/>
      <charset val="163"/>
      <scheme val="minor"/>
    </font>
    <font>
      <b/>
      <sz val="11"/>
      <color theme="1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0286A-00D7-4DD5-8106-529CF77E717A}">
  <sheetPr codeName="Sheet1"/>
  <dimension ref="A1:I19"/>
  <sheetViews>
    <sheetView tabSelected="1" workbookViewId="0">
      <selection activeCell="F3" sqref="F3"/>
    </sheetView>
  </sheetViews>
  <sheetFormatPr defaultRowHeight="14.25" x14ac:dyDescent="0.2"/>
  <cols>
    <col min="2" max="2" width="28.625" customWidth="1"/>
    <col min="3" max="3" width="8.375" customWidth="1"/>
    <col min="7" max="7" width="12.5" customWidth="1"/>
  </cols>
  <sheetData>
    <row r="1" spans="1:9" x14ac:dyDescent="0.2">
      <c r="F1" s="3">
        <v>1</v>
      </c>
      <c r="G1" s="3">
        <v>4</v>
      </c>
    </row>
    <row r="2" spans="1:9" s="2" customFormat="1" ht="15" x14ac:dyDescent="0.25">
      <c r="A2" s="2" t="s">
        <v>0</v>
      </c>
      <c r="B2" s="2" t="s">
        <v>1</v>
      </c>
      <c r="F2" s="2" t="s">
        <v>3</v>
      </c>
      <c r="G2" s="2" t="s">
        <v>2</v>
      </c>
      <c r="H2" s="2" t="s">
        <v>4</v>
      </c>
      <c r="I2" s="2" t="s">
        <v>14</v>
      </c>
    </row>
    <row r="3" spans="1:9" x14ac:dyDescent="0.2">
      <c r="A3">
        <v>1</v>
      </c>
      <c r="B3" t="s">
        <v>15</v>
      </c>
      <c r="F3" s="3">
        <v>1</v>
      </c>
      <c r="G3">
        <v>30</v>
      </c>
      <c r="H3">
        <v>50</v>
      </c>
      <c r="I3" s="1" t="str" cm="1">
        <f t="array" aca="1" ref="I3" ca="1">_xlfn.TEXTJOIN("",1,INDEX(CHAR(_xlfn.SEQUENCE(26,1,65,1)),_xlfn.RANDARRAY(RANDBETWEEN(7,12),1,1,26,TRUE)))</f>
        <v>IAOCNVPG</v>
      </c>
    </row>
    <row r="4" spans="1:9" x14ac:dyDescent="0.2">
      <c r="A4">
        <v>2</v>
      </c>
      <c r="B4" t="s">
        <v>16</v>
      </c>
    </row>
    <row r="5" spans="1:9" x14ac:dyDescent="0.2">
      <c r="A5">
        <v>3</v>
      </c>
      <c r="B5" t="s">
        <v>17</v>
      </c>
      <c r="G5" t="s">
        <v>5</v>
      </c>
    </row>
    <row r="6" spans="1:9" x14ac:dyDescent="0.2">
      <c r="A6">
        <v>4</v>
      </c>
      <c r="B6" t="s">
        <v>18</v>
      </c>
      <c r="G6" t="s">
        <v>6</v>
      </c>
    </row>
    <row r="7" spans="1:9" x14ac:dyDescent="0.2">
      <c r="A7">
        <v>5</v>
      </c>
      <c r="G7" t="s">
        <v>7</v>
      </c>
    </row>
    <row r="8" spans="1:9" x14ac:dyDescent="0.2">
      <c r="A8">
        <v>6</v>
      </c>
      <c r="G8" t="s">
        <v>8</v>
      </c>
    </row>
    <row r="9" spans="1:9" x14ac:dyDescent="0.2">
      <c r="A9">
        <v>7</v>
      </c>
      <c r="G9" t="str">
        <f ca="1">"NODENAME="&amp;$I$3</f>
        <v>NODENAME=IAOCNVPG</v>
      </c>
    </row>
    <row r="10" spans="1:9" x14ac:dyDescent="0.2">
      <c r="A10">
        <v>8</v>
      </c>
      <c r="G10" t="s">
        <v>9</v>
      </c>
    </row>
    <row r="11" spans="1:9" x14ac:dyDescent="0.2">
      <c r="A11">
        <v>9</v>
      </c>
      <c r="G11" t="str">
        <f>"PORT1="&amp;30333+$F$3+$G$3</f>
        <v>PORT1=30364</v>
      </c>
    </row>
    <row r="12" spans="1:9" x14ac:dyDescent="0.2">
      <c r="A12">
        <v>10</v>
      </c>
      <c r="G12" t="s">
        <v>10</v>
      </c>
    </row>
    <row r="13" spans="1:9" x14ac:dyDescent="0.2">
      <c r="A13">
        <v>11</v>
      </c>
      <c r="G13" t="str">
        <f>"PORT2="&amp;40333+$F$3+$G$3</f>
        <v>PORT2=40364</v>
      </c>
    </row>
    <row r="14" spans="1:9" x14ac:dyDescent="0.2">
      <c r="A14">
        <v>12</v>
      </c>
      <c r="G14" t="s">
        <v>11</v>
      </c>
    </row>
    <row r="15" spans="1:9" x14ac:dyDescent="0.2">
      <c r="A15">
        <v>13</v>
      </c>
      <c r="G15" t="str">
        <f>"PORT3="&amp;9955+$F$3+$G$3</f>
        <v>PORT3=9986</v>
      </c>
    </row>
    <row r="16" spans="1:9" x14ac:dyDescent="0.2">
      <c r="A16">
        <v>14</v>
      </c>
      <c r="G16" t="s">
        <v>12</v>
      </c>
    </row>
    <row r="17" spans="1:7" x14ac:dyDescent="0.2">
      <c r="A17">
        <v>15</v>
      </c>
      <c r="G17" t="str">
        <f>"REWARDADDRESS="&amp;VLOOKUP($F$3,$A:$B,2,0)</f>
        <v>REWARDADDRESS=stAV3HejGxWSuBjWuLxG9WRdSSLsYDbRq38tMp4C8aLJD2z3B</v>
      </c>
    </row>
    <row r="18" spans="1:7" x14ac:dyDescent="0.2">
      <c r="A18">
        <v>16</v>
      </c>
      <c r="G18" t="s">
        <v>13</v>
      </c>
    </row>
    <row r="19" spans="1:7" x14ac:dyDescent="0.2">
      <c r="A19">
        <v>17</v>
      </c>
      <c r="G19" t="str">
        <f>"PLOTSIZE="&amp;$H$3&amp;"G"</f>
        <v>PLOTSIZE=50G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 Xuan Dieu</dc:creator>
  <cp:lastModifiedBy>Tran Xuan Dieu</cp:lastModifiedBy>
  <dcterms:created xsi:type="dcterms:W3CDTF">2022-09-24T04:13:42Z</dcterms:created>
  <dcterms:modified xsi:type="dcterms:W3CDTF">2022-09-24T04:44:13Z</dcterms:modified>
</cp:coreProperties>
</file>